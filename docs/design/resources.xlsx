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fied-Global-Firmware\UnifiedGTXproRT1064\docs\design\"/>
    </mc:Choice>
  </mc:AlternateContent>
  <xr:revisionPtr revIDLastSave="0" documentId="8_{E78F5D4A-0E3C-4214-977D-AD5886BB9472}" xr6:coauthVersionLast="47" xr6:coauthVersionMax="47" xr10:uidLastSave="{00000000-0000-0000-0000-000000000000}"/>
  <bookViews>
    <workbookView xWindow="-120" yWindow="-120" windowWidth="29040" windowHeight="15720" xr2:uid="{B1F8A4C6-4C7F-43AF-851F-16C21C45E136}"/>
  </bookViews>
  <sheets>
    <sheet name="Memory" sheetId="1" r:id="rId1"/>
    <sheet name="IO" sheetId="2" r:id="rId2"/>
    <sheet name="Periphera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<sst xmlns="http://schemas.openxmlformats.org/spreadsheetml/2006/main" count="13" uniqueCount="13">
  <si>
    <t>Memory Section</t>
  </si>
  <si>
    <t>Location</t>
  </si>
  <si>
    <t xml:space="preserve">Size </t>
  </si>
  <si>
    <t>Used</t>
  </si>
  <si>
    <t xml:space="preserve">Remaining </t>
  </si>
  <si>
    <t>% Used</t>
  </si>
  <si>
    <t>P20 - P21 ( QACCESS_CODE )</t>
  </si>
  <si>
    <t>0x0000 - 0x7FFF</t>
  </si>
  <si>
    <t xml:space="preserve">P17 - P18 ( DATA ) </t>
  </si>
  <si>
    <t>0x20000000 - 0x2000FFFF</t>
  </si>
  <si>
    <t xml:space="preserve">P14 - P15 ( DATA2 ) </t>
  </si>
  <si>
    <t>0x20200000 - 0x20227FFE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</si>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</sst>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  <xf numFmtId="3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6BB2-2F93-4B7B-9D24-1B9CCDEC4F55}">
  <dimension ref="A1:F5"/>
  <sheetViews>
    <sheetView tabSelected="1" workbookViewId="0">
      <selection activeCell="D2" sqref="D2"/>
    </sheetView>
  </sheetViews>
  <sheetFormatPr defaultRowHeight="15" x14ac:dyDescent="0.25"/>
  <cols>
    <col min="1" max="1" width="25.7109375" bestFit="1" customWidth="1"/>
    <col min="2" max="2" width="24.7109375" customWidth="1"/>
    <col min="3" max="4" width="10.7109375" customWidth="1"/>
    <col min="5" max="6" width="1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>
        <v>32768</v>
      </c>
      <c r="D2" s="2">
        <v>21140</v>
      </c>
      <c r="E2" s="2">
        <f>C2 - D2</f>
        <v>11628</v>
      </c>
      <c r="F2" s="3">
        <f>D2 / C2</f>
        <v>0.6451416015625</v>
      </c>
    </row>
    <row r="3" spans="1:6" x14ac:dyDescent="0.25">
      <c r="A3" s="1" t="s">
        <v>8</v>
      </c>
      <c r="B3" s="1" t="s">
        <v>9</v>
      </c>
      <c r="C3" s="2">
        <v>65536</v>
      </c>
      <c r="D3" s="2">
        <v>62104</v>
      </c>
      <c r="E3" s="2">
        <f>C3 - D3</f>
        <v>3432</v>
      </c>
      <c r="F3" s="3">
        <f>D3 / C3</f>
        <v>0.9476318359375</v>
      </c>
    </row>
    <row r="4" spans="1:6" x14ac:dyDescent="0.25">
      <c r="A4" s="1" t="s">
        <v>10</v>
      </c>
      <c r="B4" s="1" t="s">
        <v>11</v>
      </c>
      <c r="C4" s="2">
        <v>163840</v>
      </c>
      <c r="D4" s="2">
        <v>155948</v>
      </c>
      <c r="E4" s="2">
        <f>C4 - D4</f>
        <v>7892</v>
      </c>
      <c r="F4" s="3">
        <f>D4 / C4</f>
        <v>0.95183105468749996</v>
      </c>
    </row>
    <row r="5" spans="1:6" x14ac:dyDescent="0.25">
      <c r="A5" s="1" t="s">
        <v>12</v>
      </c>
      <c r="B5" s="4"/>
      <c r="C5" s="5">
        <f xml:space="preserve"> C2 + C3 + C4</f>
        <v>262144</v>
      </c>
      <c r="D5" s="5">
        <f xml:space="preserve"> D2 + D3 + D4</f>
        <v>239192</v>
      </c>
      <c r="E5" s="5">
        <f xml:space="preserve"> E2 + E3 + E4</f>
        <v>22952</v>
      </c>
      <c r="F5" s="6">
        <f>D5 / C5</f>
        <v>0.912445068359375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7B6C-0170-49C3-B916-0423D6E9B6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2598-68F0-4178-872C-4947ADD68E67}">
  <dimension ref="A1"/>
  <sheetViews>
    <sheetView workbookViewId="0">
      <selection activeCell="E30" sqref="E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Memory</vt:lpstr>
      <vt:lpstr>IO</vt:lpstr>
      <vt:lpstr>Peripherals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 Swift</dc:creator>
  <cp:lastModifiedBy>Aaron  Swift</cp:lastModifiedBy>
  <dcterms:created xsi:type="dcterms:W3CDTF">2026-05-20T13:36:30Z</dcterms:created>
  <dcterms:modified xsi:type="dcterms:W3CDTF">2026-05-20T13:40:33Z</dcterms:modified>
</cp:coreProperties>
</file>